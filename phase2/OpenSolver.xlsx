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ya Shirokov\Documents\Магистратура\Проектный менеджмент\Project-Managment\"/>
    </mc:Choice>
  </mc:AlternateContent>
  <xr:revisionPtr revIDLastSave="0" documentId="8_{53FD0476-9226-40C3-8C41-78F15A0313FA}" xr6:coauthVersionLast="47" xr6:coauthVersionMax="47" xr10:uidLastSave="{00000000-0000-0000-0000-000000000000}"/>
  <bookViews>
    <workbookView xWindow="-108" yWindow="-108" windowWidth="30936" windowHeight="16896" xr2:uid="{C9AA1B38-B690-42F0-83FC-423DFFA6EEED}"/>
  </bookViews>
  <sheets>
    <sheet name="Лист1" sheetId="1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Лист1!$B$19:$D$30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Лист1!$B$31:$D$31</definedName>
    <definedName name="solver_lhs2" localSheetId="0" hidden="1">Лист1!$F$19:$F$30</definedName>
    <definedName name="solver_neg" localSheetId="0" hidden="1">1</definedName>
    <definedName name="solver_num" localSheetId="0" hidden="1">2</definedName>
    <definedName name="solver_nwt" localSheetId="0" hidden="1">1</definedName>
    <definedName name="solver_opt" localSheetId="0" hidden="1">Лист1!$A$34</definedName>
    <definedName name="solver_pre" localSheetId="0" hidden="1">0.000001</definedName>
    <definedName name="solver_rel1" localSheetId="0" hidden="1">1</definedName>
    <definedName name="solver_rel2" localSheetId="0" hidden="1">2</definedName>
    <definedName name="solver_rhs1" localSheetId="0" hidden="1">Лист1!$G$16</definedName>
    <definedName name="solver_rhs2" localSheetId="0" hidden="1">1</definedName>
    <definedName name="solver_rlx" localSheetId="0" hidden="1">2</definedName>
    <definedName name="solver_scl" localSheetId="0" hidden="1">2</definedName>
    <definedName name="solver_sho" localSheetId="0" hidden="1">0</definedName>
    <definedName name="solver_tim" localSheetId="0" hidden="1">2147483647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" l="1"/>
  <c r="D15" i="1"/>
  <c r="B15" i="1"/>
  <c r="B31" i="1"/>
  <c r="F19" i="1"/>
  <c r="C31" i="1"/>
  <c r="D31" i="1"/>
  <c r="F20" i="1"/>
  <c r="F21" i="1"/>
  <c r="F22" i="1"/>
  <c r="F23" i="1"/>
  <c r="F24" i="1"/>
  <c r="F25" i="1"/>
  <c r="F26" i="1"/>
  <c r="F27" i="1"/>
  <c r="F28" i="1"/>
  <c r="F29" i="1"/>
  <c r="F30" i="1"/>
  <c r="A34" i="1"/>
  <c r="G15" i="1"/>
</calcChain>
</file>

<file path=xl/sharedStrings.xml><?xml version="1.0" encoding="utf-8"?>
<sst xmlns="http://schemas.openxmlformats.org/spreadsheetml/2006/main" count="54" uniqueCount="24">
  <si>
    <t>Сравнение трёх подходов (COSMIC, UCP, экспертный)</t>
  </si>
  <si>
    <t>Анализ масштабов и критических фич</t>
  </si>
  <si>
    <t>Расчёт статистических показателей</t>
  </si>
  <si>
    <t>Определение состава команды и ролей</t>
  </si>
  <si>
    <t>Формирование структуры проекта для оценки</t>
  </si>
  <si>
    <t>Подсчёт COSMIC Function Points</t>
  </si>
  <si>
    <t>Согласование и усреднение оценок</t>
  </si>
  <si>
    <t>Агрегация оценок в общую оценку проекта</t>
  </si>
  <si>
    <t>Анализ и уточнение Use Case’ов</t>
  </si>
  <si>
    <t>Определение функциональных процессов COSMIC</t>
  </si>
  <si>
    <t>Use Case - phase3</t>
  </si>
  <si>
    <t>Проведение экспертного опроса (метод Делфи / Planning Poker)</t>
  </si>
  <si>
    <t>Воронежский</t>
  </si>
  <si>
    <t>Акинин</t>
  </si>
  <si>
    <t>Широков</t>
  </si>
  <si>
    <t>Оценка сложности</t>
  </si>
  <si>
    <t>Задача 3 фазы</t>
  </si>
  <si>
    <t>Матрица переменных</t>
  </si>
  <si>
    <t>Матрица предпочтений</t>
  </si>
  <si>
    <t>Оценка задач</t>
  </si>
  <si>
    <t>Максимум на человека:</t>
  </si>
  <si>
    <t>Сумма:</t>
  </si>
  <si>
    <t>Ограничение на максимальное число сп:</t>
  </si>
  <si>
    <t>Ограничение на количество исполнителей одной задачи: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</si>
</sst>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Fill="1" applyBorder="1"/>
    <xf numFmtId="0" fontId="0" fillId="0" borderId="13" xfId="0" applyBorder="1"/>
    <xf numFmtId="0" fontId="0" fillId="0" borderId="14" xfId="0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0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18</xdr:row>
      <xdr:rowOff>7620</xdr:rowOff>
    </xdr:from>
    <xdr:to>
      <xdr:col>4</xdr:col>
      <xdr:colOff>7620</xdr:colOff>
      <xdr:row>30</xdr:row>
      <xdr:rowOff>7620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4F402985-42F0-4062-8E40-79E75E87B7F6}"/>
            </a:ext>
          </a:extLst>
        </xdr:cNvPr>
        <xdr:cNvSpPr/>
      </xdr:nvSpPr>
      <xdr:spPr>
        <a:xfrm>
          <a:off x="3916680" y="3299460"/>
          <a:ext cx="3124200" cy="219456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ru-RU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CA5FD021-451C-462E-AE26-E4AFE0CA5E05}"/>
            </a:ext>
          </a:extLst>
        </xdr:cNvPr>
        <xdr:cNvSpPr/>
      </xdr:nvSpPr>
      <xdr:spPr>
        <a:xfrm>
          <a:off x="0" y="6035040"/>
          <a:ext cx="3909060" cy="18288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ru-RU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0</xdr:colOff>
      <xdr:row>32</xdr:row>
      <xdr:rowOff>104140</xdr:rowOff>
    </xdr:from>
    <xdr:to>
      <xdr:col>0</xdr:col>
      <xdr:colOff>249235</xdr:colOff>
      <xdr:row>33</xdr:row>
      <xdr:rowOff>48260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8CB74EFF-4BC6-4BFC-A7CE-440373110720}"/>
            </a:ext>
          </a:extLst>
        </xdr:cNvPr>
        <xdr:cNvSpPr/>
      </xdr:nvSpPr>
      <xdr:spPr>
        <a:xfrm>
          <a:off x="0" y="5956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  <a:endParaRPr lang="ru-RU" sz="900">
            <a:solidFill>
              <a:srgbClr val="000000"/>
            </a:solidFill>
          </a:endParaRP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4</xdr:col>
      <xdr:colOff>0</xdr:colOff>
      <xdr:row>31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8EB93391-E954-46A2-ABBB-F6EED089BFEA}"/>
            </a:ext>
          </a:extLst>
        </xdr:cNvPr>
        <xdr:cNvSpPr/>
      </xdr:nvSpPr>
      <xdr:spPr>
        <a:xfrm>
          <a:off x="3909060" y="5486400"/>
          <a:ext cx="3124200" cy="18288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ru-RU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0</xdr:colOff>
      <xdr:row>16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AEEE1B9F-CE57-46CB-BF94-2CD0D55CB4BB}"/>
            </a:ext>
          </a:extLst>
        </xdr:cNvPr>
        <xdr:cNvSpPr/>
      </xdr:nvSpPr>
      <xdr:spPr>
        <a:xfrm>
          <a:off x="11559540" y="2743200"/>
          <a:ext cx="1226820" cy="18288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ru-RU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4</xdr:col>
      <xdr:colOff>0</xdr:colOff>
      <xdr:row>15</xdr:row>
      <xdr:rowOff>91440</xdr:rowOff>
    </xdr:from>
    <xdr:to>
      <xdr:col>6</xdr:col>
      <xdr:colOff>0</xdr:colOff>
      <xdr:row>30</xdr:row>
      <xdr:rowOff>91440</xdr:rowOff>
    </xdr:to>
    <xdr:cxnSp macro="">
      <xdr:nvCxnSpPr>
        <xdr:cNvPr id="7" name="OpenSolver6">
          <a:extLst>
            <a:ext uri="{FF2B5EF4-FFF2-40B4-BE49-F238E27FC236}">
              <a16:creationId xmlns:a16="http://schemas.microsoft.com/office/drawing/2014/main" id="{4B6C2708-5020-434F-A1CC-69708285C913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7033260" y="2834640"/>
          <a:ext cx="4526280" cy="274320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1463040</xdr:colOff>
      <xdr:row>22</xdr:row>
      <xdr:rowOff>55880</xdr:rowOff>
    </xdr:from>
    <xdr:to>
      <xdr:col>5</xdr:col>
      <xdr:colOff>1844040</xdr:colOff>
      <xdr:row>23</xdr:row>
      <xdr:rowOff>127000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90C2110A-5955-436E-A65B-FC60391DFCCC}"/>
            </a:ext>
          </a:extLst>
        </xdr:cNvPr>
        <xdr:cNvSpPr/>
      </xdr:nvSpPr>
      <xdr:spPr>
        <a:xfrm>
          <a:off x="9105900" y="40792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30</xdr:row>
      <xdr:rowOff>0</xdr:rowOff>
    </xdr:to>
    <xdr:sp macro="" textlink="">
      <xdr:nvSpPr>
        <xdr:cNvPr id="9" name="OpenSolverF19:F30">
          <a:extLst>
            <a:ext uri="{FF2B5EF4-FFF2-40B4-BE49-F238E27FC236}">
              <a16:creationId xmlns:a16="http://schemas.microsoft.com/office/drawing/2014/main" id="{E453D0E1-BBBE-4C32-B375-325C13DB2C5C}"/>
            </a:ext>
          </a:extLst>
        </xdr:cNvPr>
        <xdr:cNvSpPr/>
      </xdr:nvSpPr>
      <xdr:spPr>
        <a:xfrm>
          <a:off x="7642860" y="3291840"/>
          <a:ext cx="3916680" cy="219456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ru-RU" sz="1100" b="1">
              <a:solidFill>
                <a:srgbClr val="008000"/>
              </a:solidFill>
            </a:rPr>
            <a:t>1=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F0C6-C008-46E9-8F5E-0C1BDBEEA84A}">
  <dimension ref="A1:G34"/>
  <sheetViews>
    <sheetView tabSelected="1" workbookViewId="0">
      <selection activeCell="F39" sqref="F39"/>
    </sheetView>
  </sheetViews>
  <sheetFormatPr defaultRowHeight="14.4" x14ac:dyDescent="0.3"/>
  <cols>
    <col min="1" max="1" width="57" customWidth="1"/>
    <col min="2" max="2" width="18.33203125" customWidth="1"/>
    <col min="3" max="3" width="14.21875" customWidth="1"/>
    <col min="4" max="4" width="13" customWidth="1"/>
    <col min="6" max="6" width="57.109375" customWidth="1"/>
    <col min="7" max="7" width="17.88671875" customWidth="1"/>
  </cols>
  <sheetData>
    <row r="1" spans="1:7" x14ac:dyDescent="0.3">
      <c r="A1" t="s">
        <v>18</v>
      </c>
      <c r="F1" t="s">
        <v>19</v>
      </c>
    </row>
    <row r="2" spans="1:7" x14ac:dyDescent="0.3">
      <c r="A2" s="3" t="s">
        <v>16</v>
      </c>
      <c r="B2" s="3" t="s">
        <v>12</v>
      </c>
      <c r="C2" s="3" t="s">
        <v>13</v>
      </c>
      <c r="D2" s="3" t="s">
        <v>14</v>
      </c>
      <c r="F2" s="3" t="s">
        <v>16</v>
      </c>
      <c r="G2" s="3" t="s">
        <v>15</v>
      </c>
    </row>
    <row r="3" spans="1:7" x14ac:dyDescent="0.3">
      <c r="A3" s="4" t="s">
        <v>0</v>
      </c>
      <c r="B3" s="1">
        <v>4</v>
      </c>
      <c r="C3" s="4">
        <v>4</v>
      </c>
      <c r="D3" s="2">
        <v>1</v>
      </c>
      <c r="F3" s="4" t="s">
        <v>0</v>
      </c>
      <c r="G3" s="4">
        <v>2</v>
      </c>
    </row>
    <row r="4" spans="1:7" x14ac:dyDescent="0.3">
      <c r="A4" s="5" t="s">
        <v>1</v>
      </c>
      <c r="B4" s="2">
        <v>2</v>
      </c>
      <c r="C4" s="5">
        <v>3</v>
      </c>
      <c r="D4" s="2">
        <v>4</v>
      </c>
      <c r="F4" s="5" t="s">
        <v>1</v>
      </c>
      <c r="G4" s="5">
        <v>3</v>
      </c>
    </row>
    <row r="5" spans="1:7" x14ac:dyDescent="0.3">
      <c r="A5" s="5" t="s">
        <v>2</v>
      </c>
      <c r="B5" s="2">
        <v>4</v>
      </c>
      <c r="C5" s="5">
        <v>2</v>
      </c>
      <c r="D5" s="2">
        <v>5</v>
      </c>
      <c r="F5" s="5" t="s">
        <v>2</v>
      </c>
      <c r="G5" s="5">
        <v>3</v>
      </c>
    </row>
    <row r="6" spans="1:7" x14ac:dyDescent="0.3">
      <c r="A6" s="5" t="s">
        <v>3</v>
      </c>
      <c r="B6" s="2">
        <v>3</v>
      </c>
      <c r="C6" s="5">
        <v>2</v>
      </c>
      <c r="D6" s="2">
        <v>5</v>
      </c>
      <c r="F6" s="5" t="s">
        <v>3</v>
      </c>
      <c r="G6" s="5">
        <v>2</v>
      </c>
    </row>
    <row r="7" spans="1:7" x14ac:dyDescent="0.3">
      <c r="A7" s="5" t="s">
        <v>4</v>
      </c>
      <c r="B7" s="2">
        <v>2</v>
      </c>
      <c r="C7" s="5">
        <v>2</v>
      </c>
      <c r="D7" s="2">
        <v>5</v>
      </c>
      <c r="F7" s="5" t="s">
        <v>4</v>
      </c>
      <c r="G7" s="5">
        <v>5</v>
      </c>
    </row>
    <row r="8" spans="1:7" x14ac:dyDescent="0.3">
      <c r="A8" s="5" t="s">
        <v>5</v>
      </c>
      <c r="B8" s="2">
        <v>5</v>
      </c>
      <c r="C8" s="5">
        <v>1</v>
      </c>
      <c r="D8" s="2">
        <v>2</v>
      </c>
      <c r="F8" s="5" t="s">
        <v>5</v>
      </c>
      <c r="G8" s="5">
        <v>5</v>
      </c>
    </row>
    <row r="9" spans="1:7" x14ac:dyDescent="0.3">
      <c r="A9" s="5" t="s">
        <v>6</v>
      </c>
      <c r="B9" s="2">
        <v>3</v>
      </c>
      <c r="C9" s="5">
        <v>3</v>
      </c>
      <c r="D9" s="2">
        <v>1</v>
      </c>
      <c r="F9" s="5" t="s">
        <v>6</v>
      </c>
      <c r="G9" s="5">
        <v>1</v>
      </c>
    </row>
    <row r="10" spans="1:7" x14ac:dyDescent="0.3">
      <c r="A10" s="5" t="s">
        <v>7</v>
      </c>
      <c r="B10" s="2">
        <v>2</v>
      </c>
      <c r="C10" s="5">
        <v>4</v>
      </c>
      <c r="D10" s="2">
        <v>2</v>
      </c>
      <c r="F10" s="5" t="s">
        <v>7</v>
      </c>
      <c r="G10" s="5">
        <v>2</v>
      </c>
    </row>
    <row r="11" spans="1:7" x14ac:dyDescent="0.3">
      <c r="A11" s="5" t="s">
        <v>8</v>
      </c>
      <c r="B11" s="2">
        <v>1</v>
      </c>
      <c r="C11" s="5">
        <v>5</v>
      </c>
      <c r="D11" s="2">
        <v>3</v>
      </c>
      <c r="F11" s="5" t="s">
        <v>8</v>
      </c>
      <c r="G11" s="5">
        <v>5</v>
      </c>
    </row>
    <row r="12" spans="1:7" x14ac:dyDescent="0.3">
      <c r="A12" s="5" t="s">
        <v>9</v>
      </c>
      <c r="B12" s="2">
        <v>5</v>
      </c>
      <c r="C12" s="5">
        <v>1</v>
      </c>
      <c r="D12" s="2">
        <v>3</v>
      </c>
      <c r="F12" s="5" t="s">
        <v>9</v>
      </c>
      <c r="G12" s="5">
        <v>1</v>
      </c>
    </row>
    <row r="13" spans="1:7" x14ac:dyDescent="0.3">
      <c r="A13" s="5" t="s">
        <v>10</v>
      </c>
      <c r="B13" s="2">
        <v>1</v>
      </c>
      <c r="C13" s="5">
        <v>5</v>
      </c>
      <c r="D13" s="2">
        <v>1</v>
      </c>
      <c r="F13" s="5" t="s">
        <v>10</v>
      </c>
      <c r="G13" s="5">
        <v>3</v>
      </c>
    </row>
    <row r="14" spans="1:7" x14ac:dyDescent="0.3">
      <c r="A14" s="5" t="s">
        <v>11</v>
      </c>
      <c r="B14" s="5">
        <v>3</v>
      </c>
      <c r="C14" s="5">
        <v>3</v>
      </c>
      <c r="D14" s="2">
        <v>3</v>
      </c>
      <c r="F14" s="6" t="s">
        <v>11</v>
      </c>
      <c r="G14" s="6">
        <v>3</v>
      </c>
    </row>
    <row r="15" spans="1:7" x14ac:dyDescent="0.3">
      <c r="A15" s="3" t="s">
        <v>21</v>
      </c>
      <c r="B15" s="3">
        <f>SUM(B3:B14)</f>
        <v>35</v>
      </c>
      <c r="C15" s="3">
        <f t="shared" ref="C15:D15" si="0">SUM(C3:C14)</f>
        <v>35</v>
      </c>
      <c r="D15" s="3">
        <f t="shared" si="0"/>
        <v>35</v>
      </c>
      <c r="F15" s="7" t="s">
        <v>21</v>
      </c>
      <c r="G15" s="9">
        <f>SUM(G3:G14)</f>
        <v>35</v>
      </c>
    </row>
    <row r="16" spans="1:7" x14ac:dyDescent="0.3">
      <c r="F16" s="7" t="s">
        <v>20</v>
      </c>
      <c r="G16" s="7">
        <v>13</v>
      </c>
    </row>
    <row r="17" spans="1:6" x14ac:dyDescent="0.3">
      <c r="A17" t="s">
        <v>17</v>
      </c>
    </row>
    <row r="18" spans="1:6" x14ac:dyDescent="0.3">
      <c r="A18" s="3" t="s">
        <v>16</v>
      </c>
      <c r="B18" s="3" t="s">
        <v>12</v>
      </c>
      <c r="C18" s="3" t="s">
        <v>13</v>
      </c>
      <c r="D18" s="3" t="s">
        <v>14</v>
      </c>
      <c r="F18" s="3" t="s">
        <v>23</v>
      </c>
    </row>
    <row r="19" spans="1:6" x14ac:dyDescent="0.3">
      <c r="A19" s="4" t="s">
        <v>0</v>
      </c>
      <c r="B19" s="10">
        <v>1</v>
      </c>
      <c r="C19" s="11">
        <v>0</v>
      </c>
      <c r="D19" s="12">
        <v>0</v>
      </c>
      <c r="F19" s="5">
        <f>SUM(B19:D19)</f>
        <v>1</v>
      </c>
    </row>
    <row r="20" spans="1:6" x14ac:dyDescent="0.3">
      <c r="A20" s="5" t="s">
        <v>1</v>
      </c>
      <c r="B20" s="13">
        <v>0</v>
      </c>
      <c r="C20" s="14">
        <v>7.4494618000000003E-13</v>
      </c>
      <c r="D20" s="15">
        <v>1</v>
      </c>
      <c r="F20" s="5">
        <f t="shared" ref="F20:F30" si="1">SUM(B20:D20)</f>
        <v>1.000000000000745</v>
      </c>
    </row>
    <row r="21" spans="1:6" x14ac:dyDescent="0.3">
      <c r="A21" s="5" t="s">
        <v>2</v>
      </c>
      <c r="B21" s="13">
        <v>0</v>
      </c>
      <c r="C21" s="14">
        <v>0</v>
      </c>
      <c r="D21" s="15">
        <v>1</v>
      </c>
      <c r="F21" s="5">
        <f t="shared" si="1"/>
        <v>1</v>
      </c>
    </row>
    <row r="22" spans="1:6" x14ac:dyDescent="0.3">
      <c r="A22" s="5" t="s">
        <v>3</v>
      </c>
      <c r="B22" s="13">
        <v>0</v>
      </c>
      <c r="C22" s="14">
        <v>0</v>
      </c>
      <c r="D22" s="15">
        <v>1</v>
      </c>
      <c r="F22" s="5">
        <f t="shared" si="1"/>
        <v>1</v>
      </c>
    </row>
    <row r="23" spans="1:6" x14ac:dyDescent="0.3">
      <c r="A23" s="5" t="s">
        <v>4</v>
      </c>
      <c r="B23" s="13">
        <v>-4.4691662000000001E-13</v>
      </c>
      <c r="C23" s="14">
        <v>0</v>
      </c>
      <c r="D23" s="15">
        <v>1</v>
      </c>
      <c r="F23" s="5">
        <f t="shared" si="1"/>
        <v>0.99999999999955314</v>
      </c>
    </row>
    <row r="24" spans="1:6" x14ac:dyDescent="0.3">
      <c r="A24" s="5" t="s">
        <v>5</v>
      </c>
      <c r="B24" s="13">
        <v>1</v>
      </c>
      <c r="C24" s="14">
        <v>0</v>
      </c>
      <c r="D24" s="15">
        <v>0</v>
      </c>
      <c r="F24" s="5">
        <f t="shared" si="1"/>
        <v>1</v>
      </c>
    </row>
    <row r="25" spans="1:6" x14ac:dyDescent="0.3">
      <c r="A25" s="5" t="s">
        <v>6</v>
      </c>
      <c r="B25" s="13">
        <v>1</v>
      </c>
      <c r="C25" s="14">
        <v>0</v>
      </c>
      <c r="D25" s="15">
        <v>0</v>
      </c>
      <c r="F25" s="5">
        <f t="shared" si="1"/>
        <v>1</v>
      </c>
    </row>
    <row r="26" spans="1:6" x14ac:dyDescent="0.3">
      <c r="A26" s="5" t="s">
        <v>7</v>
      </c>
      <c r="B26" s="13">
        <v>0</v>
      </c>
      <c r="C26" s="14">
        <v>1</v>
      </c>
      <c r="D26" s="15">
        <v>0</v>
      </c>
      <c r="F26" s="5">
        <f t="shared" si="1"/>
        <v>1</v>
      </c>
    </row>
    <row r="27" spans="1:6" x14ac:dyDescent="0.3">
      <c r="A27" s="5" t="s">
        <v>8</v>
      </c>
      <c r="B27" s="13">
        <v>0</v>
      </c>
      <c r="C27" s="14">
        <v>1</v>
      </c>
      <c r="D27" s="15">
        <v>0</v>
      </c>
      <c r="F27" s="5">
        <f t="shared" si="1"/>
        <v>1</v>
      </c>
    </row>
    <row r="28" spans="1:6" x14ac:dyDescent="0.3">
      <c r="A28" s="5" t="s">
        <v>9</v>
      </c>
      <c r="B28" s="13">
        <v>1</v>
      </c>
      <c r="C28" s="14">
        <v>0</v>
      </c>
      <c r="D28" s="15">
        <v>0</v>
      </c>
      <c r="F28" s="5">
        <f t="shared" si="1"/>
        <v>1</v>
      </c>
    </row>
    <row r="29" spans="1:6" x14ac:dyDescent="0.3">
      <c r="A29" s="5" t="s">
        <v>10</v>
      </c>
      <c r="B29" s="13">
        <v>0</v>
      </c>
      <c r="C29" s="14">
        <v>1</v>
      </c>
      <c r="D29" s="15">
        <v>0</v>
      </c>
      <c r="F29" s="5">
        <f t="shared" si="1"/>
        <v>1</v>
      </c>
    </row>
    <row r="30" spans="1:6" x14ac:dyDescent="0.3">
      <c r="A30" s="6" t="s">
        <v>11</v>
      </c>
      <c r="B30" s="16">
        <v>1</v>
      </c>
      <c r="C30" s="17">
        <v>0</v>
      </c>
      <c r="D30" s="18">
        <v>0</v>
      </c>
      <c r="F30" s="6">
        <f t="shared" si="1"/>
        <v>1</v>
      </c>
    </row>
    <row r="31" spans="1:6" x14ac:dyDescent="0.3">
      <c r="A31" s="7" t="s">
        <v>22</v>
      </c>
      <c r="B31" s="8">
        <f>SUMPRODUCT($G$3:$G$14,B19:B30)</f>
        <v>11.999999999997765</v>
      </c>
      <c r="C31" s="8">
        <f t="shared" ref="C31:D31" si="2">SUMPRODUCT($G$3:$G$14,C19:C30)</f>
        <v>10.000000000002235</v>
      </c>
      <c r="D31" s="9">
        <f t="shared" si="2"/>
        <v>13</v>
      </c>
    </row>
    <row r="34" spans="1:1" x14ac:dyDescent="0.3">
      <c r="A34">
        <f>SUMPRODUCT(B3:D14,B19:D30)</f>
        <v>53.000000000001336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2025-11-22T15:41:13Z</dcterms:created>
  <dcterms:modified xsi:type="dcterms:W3CDTF">2025-11-22T16:35:31Z</dcterms:modified>
</cp:coreProperties>
</file>