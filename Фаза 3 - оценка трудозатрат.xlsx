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<sst xmlns="http://schemas.openxmlformats.org/spreadsheetml/2006/main" count="38" uniqueCount="38">
  <si>
    <t>Акинин</t>
  </si>
  <si>
    <t>Воронежский</t>
  </si>
  <si>
    <t>Широков</t>
  </si>
  <si>
    <t>Усредненное</t>
  </si>
  <si>
    <t>Итог</t>
  </si>
  <si>
    <t>Комментарий</t>
  </si>
  <si>
    <t>UC-01. Регистрация нового пользователя</t>
  </si>
  <si>
    <t>Интеграция с другими сервисами не нужна, делаем простую регистрацию с подтверждением по почте</t>
  </si>
  <si>
    <t>UC-02. Авторизация пользователя</t>
  </si>
  <si>
    <t>Авторизация + ролевая модель доступов к курсам большой процесс со множеством ньюансов</t>
  </si>
  <si>
    <t>UC-03. Просмотр каталога курсов</t>
  </si>
  <si>
    <t>Поиск с индексацией + фильтры + пагинация</t>
  </si>
  <si>
    <t>UC-04. Запись на курс</t>
  </si>
  <si>
    <t>В оценке сошлись. Оплата курса + запись + возврат средств в случае отката</t>
  </si>
  <si>
    <t>UC-05. Выполнение задания с автоматической проверкой</t>
  </si>
  <si>
    <t>В оценке сошлись. Механизм проверки + удобный UI/UX для создания новых заданий</t>
  </si>
  <si>
    <t>UC-06. Получение сертификата о завершении курса</t>
  </si>
  <si>
    <t>Нужно s3 + шаблоны под каждый сертификат</t>
  </si>
  <si>
    <t>UC-07. Восстановление пароля</t>
  </si>
  <si>
    <t>Будет использоваться Keycloak, там уже есть реализация восстановления пароля</t>
  </si>
  <si>
    <t>UC-08. Оставление отзыва о курсе</t>
  </si>
  <si>
    <t>Реализация на фронте, бэк просто кладет информацию в базу</t>
  </si>
  <si>
    <t>UC-09. Управление курсами преподавателем</t>
  </si>
  <si>
    <t>В оценке сошлись. Большой процесс со множеством ветвлений и ньюансов</t>
  </si>
  <si>
    <t>UC-10. Просмотр аналитики преподавателем</t>
  </si>
  <si>
    <t>Сложная логика, много математики, сложный UI на фронте</t>
  </si>
  <si>
    <t>Итог:</t>
  </si>
  <si>
    <t>1sp ~ 40ч (от начала до MVP)</t>
  </si>
  <si>
    <t>В человеко-часах:</t>
  </si>
  <si>
    <t>В днях:</t>
  </si>
  <si>
    <t>Команда 7 человек:</t>
  </si>
  <si>
    <t>2 Backend-разработчика</t>
  </si>
  <si>
    <t>2 Frontend-разработчика</t>
  </si>
  <si>
    <t>1 QA-инженер</t>
  </si>
  <si>
    <t>1 DevOps-инженер</t>
  </si>
  <si>
    <t>1-PM/Аналитик</t>
  </si>
  <si>
    <t>Сроки проекта:</t>
  </si>
  <si>
    <t>~6.5 месяцев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</si>
</sst>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21.75"/>
    <col customWidth="1" min="3" max="3" width="15.75"/>
    <col customWidth="1" min="4" max="4" width="12.0"/>
    <col customWidth="1" min="5" max="5" width="11.75"/>
    <col customWidth="1" min="6" max="6" width="10.0"/>
    <col customWidth="1" min="7" max="7" width="57.25"/>
    <col customWidth="1" min="9" max="9" width="43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</row>
    <row r="2">
      <c r="A2" s="2" t="s">
        <v>6</v>
      </c>
      <c r="B2" s="4">
        <v>8.0</v>
      </c>
      <c r="C2" s="4">
        <v>8.0</v>
      </c>
      <c r="D2" s="4">
        <v>13.0</v>
      </c>
      <c r="E2" s="5">
        <f t="shared" ref="E2:E11" si="1">SUM(B2:D2)/3</f>
        <v>9.666666667</v>
      </c>
      <c r="F2" s="3">
        <v>8.0</v>
      </c>
      <c r="G2" s="6" t="s">
        <v>7</v>
      </c>
    </row>
    <row r="3">
      <c r="A3" s="2" t="s">
        <v>8</v>
      </c>
      <c r="B3" s="4">
        <v>13.0</v>
      </c>
      <c r="C3" s="4">
        <v>13.0</v>
      </c>
      <c r="D3" s="4">
        <v>8.0</v>
      </c>
      <c r="E3" s="5">
        <f t="shared" si="1"/>
        <v>11.33333333</v>
      </c>
      <c r="F3" s="3">
        <v>13.0</v>
      </c>
      <c r="G3" s="6" t="s">
        <v>9</v>
      </c>
    </row>
    <row r="4">
      <c r="A4" s="2" t="s">
        <v>10</v>
      </c>
      <c r="B4" s="4">
        <v>3.0</v>
      </c>
      <c r="C4" s="4">
        <v>5.0</v>
      </c>
      <c r="D4" s="4">
        <v>5.0</v>
      </c>
      <c r="E4" s="5">
        <f t="shared" si="1"/>
        <v>4.333333333</v>
      </c>
      <c r="F4" s="3">
        <v>5.0</v>
      </c>
      <c r="G4" s="6" t="s">
        <v>11</v>
      </c>
    </row>
    <row r="5">
      <c r="A5" s="2" t="s">
        <v>12</v>
      </c>
      <c r="B5" s="4">
        <v>5.0</v>
      </c>
      <c r="C5" s="4">
        <v>5.0</v>
      </c>
      <c r="D5" s="4">
        <v>5.0</v>
      </c>
      <c r="E5" s="5">
        <f t="shared" si="1"/>
        <v>5</v>
      </c>
      <c r="F5" s="3">
        <v>5.0</v>
      </c>
      <c r="G5" s="6" t="s">
        <v>13</v>
      </c>
    </row>
    <row r="6">
      <c r="A6" s="2" t="s">
        <v>14</v>
      </c>
      <c r="B6" s="4">
        <v>13.0</v>
      </c>
      <c r="C6" s="4">
        <v>13.0</v>
      </c>
      <c r="D6" s="4">
        <v>13.0</v>
      </c>
      <c r="E6" s="5">
        <f t="shared" si="1"/>
        <v>13</v>
      </c>
      <c r="F6" s="3">
        <v>13.0</v>
      </c>
      <c r="G6" s="6" t="s">
        <v>15</v>
      </c>
    </row>
    <row r="7">
      <c r="A7" s="2" t="s">
        <v>16</v>
      </c>
      <c r="B7" s="4">
        <v>3.0</v>
      </c>
      <c r="C7" s="4">
        <v>2.0</v>
      </c>
      <c r="D7" s="4">
        <v>3.0</v>
      </c>
      <c r="E7" s="5">
        <f t="shared" si="1"/>
        <v>2.666666667</v>
      </c>
      <c r="F7" s="3">
        <v>3.0</v>
      </c>
      <c r="G7" s="6" t="s">
        <v>17</v>
      </c>
    </row>
    <row r="8">
      <c r="A8" s="2" t="s">
        <v>18</v>
      </c>
      <c r="B8" s="7">
        <v>8.0</v>
      </c>
      <c r="C8" s="4">
        <v>3.0</v>
      </c>
      <c r="D8" s="4">
        <v>5.0</v>
      </c>
      <c r="E8" s="5">
        <f t="shared" si="1"/>
        <v>5.333333333</v>
      </c>
      <c r="F8" s="3">
        <v>3.0</v>
      </c>
      <c r="G8" s="6" t="s">
        <v>19</v>
      </c>
    </row>
    <row r="9">
      <c r="A9" s="2" t="s">
        <v>20</v>
      </c>
      <c r="B9" s="4">
        <v>3.0</v>
      </c>
      <c r="C9" s="4">
        <v>2.0</v>
      </c>
      <c r="D9" s="4">
        <v>3.0</v>
      </c>
      <c r="E9" s="5">
        <f t="shared" si="1"/>
        <v>2.666666667</v>
      </c>
      <c r="F9" s="3">
        <v>2.0</v>
      </c>
      <c r="G9" s="6" t="s">
        <v>21</v>
      </c>
    </row>
    <row r="10">
      <c r="A10" s="2" t="s">
        <v>22</v>
      </c>
      <c r="B10" s="4">
        <v>21.0</v>
      </c>
      <c r="C10" s="4">
        <v>21.0</v>
      </c>
      <c r="D10" s="4">
        <v>21.0</v>
      </c>
      <c r="E10" s="5">
        <f t="shared" si="1"/>
        <v>21</v>
      </c>
      <c r="F10" s="3">
        <v>21.0</v>
      </c>
      <c r="G10" s="6" t="s">
        <v>23</v>
      </c>
    </row>
    <row r="11">
      <c r="A11" s="2" t="s">
        <v>24</v>
      </c>
      <c r="B11" s="4">
        <v>8.0</v>
      </c>
      <c r="C11" s="4">
        <v>13.0</v>
      </c>
      <c r="D11" s="4">
        <v>13.0</v>
      </c>
      <c r="E11" s="5">
        <f t="shared" si="1"/>
        <v>11.33333333</v>
      </c>
      <c r="F11" s="3">
        <v>13.0</v>
      </c>
      <c r="G11" s="6" t="s">
        <v>25</v>
      </c>
    </row>
    <row r="12">
      <c r="A12" s="7" t="s">
        <v>26</v>
      </c>
      <c r="F12" s="8">
        <f>SUM(F2:F11)</f>
        <v>86</v>
      </c>
    </row>
    <row r="13">
      <c r="A13" s="7" t="s">
        <v>27</v>
      </c>
    </row>
    <row r="14">
      <c r="A14" s="7" t="s">
        <v>28</v>
      </c>
      <c r="B14" s="9">
        <f> F12*40</f>
        <v>3440</v>
      </c>
      <c r="C14" s="7" t="s">
        <v>29</v>
      </c>
      <c r="D14" s="9">
        <f>B14/8</f>
        <v>430</v>
      </c>
    </row>
    <row r="15">
      <c r="A15" s="7" t="s">
        <v>30</v>
      </c>
    </row>
    <row r="16">
      <c r="A16" s="7" t="s">
        <v>31</v>
      </c>
      <c r="B16" s="7">
        <v>1000.0</v>
      </c>
    </row>
    <row r="17">
      <c r="A17" s="7" t="s">
        <v>32</v>
      </c>
      <c r="B17" s="7">
        <v>1000.0</v>
      </c>
    </row>
    <row r="18">
      <c r="A18" s="7" t="s">
        <v>33</v>
      </c>
      <c r="B18" s="7">
        <v>800.0</v>
      </c>
    </row>
    <row r="19">
      <c r="A19" s="7" t="s">
        <v>34</v>
      </c>
      <c r="B19" s="7">
        <v>350.0</v>
      </c>
    </row>
    <row r="20">
      <c r="A20" s="7" t="s">
        <v>35</v>
      </c>
      <c r="B20" s="7">
        <v>290.0</v>
      </c>
    </row>
    <row r="21">
      <c r="A21" s="7" t="s">
        <v>36</v>
      </c>
      <c r="B21" s="9">
        <f>MAX(B16:B20)/40/4</f>
        <v>6.25</v>
      </c>
      <c r="C21" s="7" t="s">
        <v>37</v>
      </c>
    </row>
  </sheetData>
  <drawing r:id="rId1"/>
</worksheet>
</file>